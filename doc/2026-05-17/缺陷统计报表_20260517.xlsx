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原始数据" sheetId="1" r:id="rId1"/>
    <sheet name="按小组月度统计" sheetId="2" r:id="rId2"/>
    <sheet name="按小组年度统计" sheetId="3" r:id="rId3"/>
    <sheet name="按客户统计" sheetId="4" r:id="rId4"/>
    <sheet name="特性×小组统计" sheetId="5" r:id="rId5"/>
    <sheet name="特性×客户统计" sheetId="6" r:id="rId6"/>
  </sheets>
  <definedNames>
    <definedName name="_xlnm._FilterDatabase" localSheetId="0" hidden="1">原始数据!$A$1:$N$17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<sst xmlns="http://schemas.openxmlformats.org/spreadsheetml/2006/main" count="310" uniqueCount="113">
  <si>
    <t>版本信息</t>
  </si>
  <si>
    <t>缺陷业务编号</t>
  </si>
  <si>
    <t>标题</t>
  </si>
  <si>
    <t>当前责任人</t>
  </si>
  <si>
    <t>当前责任人所属小组</t>
  </si>
  <si>
    <t>严重程度</t>
  </si>
  <si>
    <t>特性</t>
  </si>
  <si>
    <t>模块</t>
  </si>
  <si>
    <t>是否SDTS</t>
  </si>
  <si>
    <t>年份</t>
  </si>
  <si>
    <t>月份</t>
  </si>
  <si>
    <t>日期</t>
  </si>
  <si>
    <t>年月</t>
  </si>
  <si>
    <t>标题分类</t>
  </si>
  <si>
    <t>YLS3000 V100R001C00SPC130</t>
  </si>
  <si>
    <t>SDTS2026042300819</t>
  </si>
  <si>
    <t>【YLS】【RBPS】【830】【质量深耕】test3</t>
  </si>
  <si>
    <t>AAA</t>
  </si>
  <si>
    <t>软件-离线集群</t>
  </si>
  <si>
    <t>提示</t>
  </si>
  <si>
    <t>离线功能</t>
  </si>
  <si>
    <t>aaa</t>
  </si>
  <si>
    <t>是</t>
  </si>
  <si>
    <t>2026</t>
  </si>
  <si>
    <t>04</t>
  </si>
  <si>
    <t>23</t>
  </si>
  <si>
    <t>2026-04</t>
  </si>
  <si>
    <t>YMTC</t>
  </si>
  <si>
    <t>YLS3000 V100R001C00B007</t>
  </si>
  <si>
    <t>SDTS2026042300326</t>
  </si>
  <si>
    <t>【YLS】【YLS5020】【出厂测试】test2</t>
  </si>
  <si>
    <t>bbb</t>
  </si>
  <si>
    <t>软件-项目管理</t>
  </si>
  <si>
    <t>一般</t>
  </si>
  <si>
    <t>产率</t>
  </si>
  <si>
    <t>bbbb</t>
  </si>
  <si>
    <t>出厂测试</t>
  </si>
  <si>
    <t>SDTS2026042200101</t>
  </si>
  <si>
    <t>【YLS】【PXW】【830】【回归】test4</t>
  </si>
  <si>
    <t>CCC</t>
  </si>
  <si>
    <t>严重</t>
  </si>
  <si>
    <t>ccc</t>
  </si>
  <si>
    <t>22</t>
  </si>
  <si>
    <t>YLS3000 V100R001C00B008</t>
  </si>
  <si>
    <t>SDTS2026032100555</t>
  </si>
  <si>
    <t>【YLS】【PST】【性能优化】test5</t>
  </si>
  <si>
    <t>DDD</t>
  </si>
  <si>
    <t>软件-在线服务</t>
  </si>
  <si>
    <t>在线功能</t>
  </si>
  <si>
    <t>ddd</t>
  </si>
  <si>
    <t>03</t>
  </si>
  <si>
    <t>21</t>
  </si>
  <si>
    <t>2026-03</t>
  </si>
  <si>
    <t>YLS3000 V100R001C00SPC131</t>
  </si>
  <si>
    <t>SDTS2026032200777</t>
  </si>
  <si>
    <t>【YLS】【RBPS】【830】test6</t>
  </si>
  <si>
    <t>EEE</t>
  </si>
  <si>
    <t>eee</t>
  </si>
  <si>
    <t>YLS3000 V100R001C00B009</t>
  </si>
  <si>
    <t>SDTS2025120100200</t>
  </si>
  <si>
    <t>【YLS】【PXW】【功能验证】test7</t>
  </si>
  <si>
    <t>FFF</t>
  </si>
  <si>
    <t>fff</t>
  </si>
  <si>
    <t>2025</t>
  </si>
  <si>
    <t>12</t>
  </si>
  <si>
    <t>01</t>
  </si>
  <si>
    <t>2025-12</t>
  </si>
  <si>
    <t>YLS3000 V100R001C00SPC132</t>
  </si>
  <si>
    <t>SDTS2025110500333</t>
  </si>
  <si>
    <t>【YLS】【出厂测试】test8</t>
  </si>
  <si>
    <t>GGG</t>
  </si>
  <si>
    <t>ggg</t>
  </si>
  <si>
    <t>11</t>
  </si>
  <si>
    <t>05</t>
  </si>
  <si>
    <t>2025-11</t>
  </si>
  <si>
    <t>YLS3000 V100R001C00B010</t>
  </si>
  <si>
    <t>SDTS2026042300999</t>
  </si>
  <si>
    <t>【YLS】【830】【PST】test9</t>
  </si>
  <si>
    <t>HHH</t>
  </si>
  <si>
    <t>hhh</t>
  </si>
  <si>
    <t>YLS3000 V100R001C00B011</t>
  </si>
  <si>
    <t>SDTS2026041500100</t>
  </si>
  <si>
    <t>【YLS】【日常修复】test10</t>
  </si>
  <si>
    <t>III</t>
  </si>
  <si>
    <t>iii</t>
  </si>
  <si>
    <t>15</t>
  </si>
  <si>
    <t>研发</t>
  </si>
  <si>
    <t>YLS3000 V100R001C00B012</t>
  </si>
  <si>
    <t>SDTS2026041600200</t>
  </si>
  <si>
    <t>【YLS】【RBPS】【安全加固】test11</t>
  </si>
  <si>
    <t>JJJ</t>
  </si>
  <si>
    <t>jjj</t>
  </si>
  <si>
    <t>16</t>
  </si>
  <si>
    <t>RBPS</t>
  </si>
  <si>
    <t>YLS3000 V100R001C00B013</t>
  </si>
  <si>
    <t>SDTS2026030100300</t>
  </si>
  <si>
    <t>【YLS】【PXW】test12</t>
  </si>
  <si>
    <t>KKK</t>
  </si>
  <si>
    <t>kkk</t>
  </si>
  <si>
    <t>YLS3000 V100R001C00B014</t>
  </si>
  <si>
    <t>SDTS2026020100400</t>
  </si>
  <si>
    <t>【YLS】【常规优化】test13</t>
  </si>
  <si>
    <t>LLL</t>
  </si>
  <si>
    <t>lll</t>
  </si>
  <si>
    <t>02</t>
  </si>
  <si>
    <t>2026-02</t>
  </si>
  <si>
    <t>小组</t>
  </si>
  <si>
    <t>合计</t>
  </si>
  <si>
    <t/>
  </si>
  <si>
    <t>汇总（用于图表）</t>
  </si>
  <si>
    <t>PXW</t>
  </si>
  <si>
    <t>客户</t>
  </si>
  <si>
    <t>缺陷数量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</si>
</sst>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i/>
      <sz val="10"/>
      <color rgb="FF88888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/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各小组月度缺陷趋势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按小组月度统计!$B$1</c:f>
              <c:strCache>
                <c:ptCount val="1"/>
                <c:pt idx="0">
                  <c:v>2025-11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按小组月度统计!$C$1</c:f>
              <c:strCache>
                <c:ptCount val="1"/>
                <c:pt idx="0">
                  <c:v>2025-12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按小组月度统计!$C$2:$C$4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按小组月度统计!$D$1</c:f>
              <c:strCache>
                <c:ptCount val="1"/>
                <c:pt idx="0">
                  <c:v>2026-02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按小组月度统计!$D$2:$D$4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ser>
          <c:idx val="3"/>
          <c:order val="3"/>
          <c:tx>
            <c:strRef>
              <c:f>按小组月度统计!$E$1</c:f>
              <c:strCache>
                <c:ptCount val="1"/>
                <c:pt idx="0">
                  <c:v>2026-03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按小组月度统计!$E$2:$E$4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按小组月度统计!$F$1</c:f>
              <c:strCache>
                <c:ptCount val="1"/>
                <c:pt idx="0">
                  <c:v>2026-04</c:v>
                </c:pt>
              </c:strCache>
            </c:strRef>
          </c:tx>
          <c:spPr>
            <a:solidFill>
              <a:srgbClr val="5B9BD5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按小组月度统计!$A$2:$A$4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按小组月度统计!$F$2:$F$4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a479ee-44cc-46bf-bd4e-db783ad4b5f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各小组缺陷统计（按严重程度）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按小组年度统计!$B$13</c:f>
              <c:strCache>
                <c:ptCount val="1"/>
                <c:pt idx="0">
                  <c:v>一般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按小组年度统计!$B$14:$B$16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按小组年度统计!$C$13</c:f>
              <c:strCache>
                <c:ptCount val="1"/>
                <c:pt idx="0">
                  <c:v>严重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按小组年度统计!$C$14:$C$16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按小组年度统计!$D$13</c:f>
              <c:strCache>
                <c:ptCount val="1"/>
                <c:pt idx="0">
                  <c:v>提示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按小组年度统计!$A$14:$A$16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按小组年度统计!$D$14:$D$16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cd651b-b788-4fb2-b86e-ea8dbea4fbc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各小组×客户缺陷分布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按客户统计!$B$1</c:f>
              <c:strCache>
                <c:ptCount val="1"/>
                <c:pt idx="0">
                  <c:v>PXW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按客户统计!$C$1</c:f>
              <c:strCache>
                <c:ptCount val="1"/>
                <c:pt idx="0">
                  <c:v>RBPS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按客户统计!$C$2:$C$4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按客户统计!$D$1</c:f>
              <c:strCache>
                <c:ptCount val="1"/>
                <c:pt idx="0">
                  <c:v>出厂测试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按客户统计!$A$2:$A$4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按客户统计!$D$2:$D$4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d16500-1cb0-47e2-9c31-979fc4f5f37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客户面缺陷占比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按客户统计!$B$26</c:f>
              <c:strCache>
                <c:ptCount val="1"/>
                <c:pt idx="0">
                  <c:v>缺陷数量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4472C4"/>
              </a:solidFill>
              <a:ln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70AD47"/>
              </a:solidFill>
              <a:ln>
                <a:noFill/>
                <a:prstDash val="solid"/>
              </a:ln>
            </c:spPr>
          </c:dPt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按客户统计!$A$27:$A$29</c:f>
              <c:strCache>
                <c:ptCount val="3"/>
                <c:pt idx="0">
                  <c:v>PXW</c:v>
                </c:pt>
                <c:pt idx="1">
                  <c:v>出厂测试</c:v>
                </c:pt>
                <c:pt idx="2">
                  <c:v>RBPS</c:v>
                </c:pt>
              </c:strCache>
            </c:strRef>
          </c:cat>
          <c:val>
            <c:numRef>
              <c:f>按客户统计!$B$27:$B$29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f5278a-005e-48e3-9171-637faeb9089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特性×小组缺陷分布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特性×小组统计!$B$1</c:f>
              <c:strCache>
                <c:ptCount val="1"/>
                <c:pt idx="0">
                  <c:v>产率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特性×小组统计!$C$1</c:f>
              <c:strCache>
                <c:ptCount val="1"/>
                <c:pt idx="0">
                  <c:v>在线功能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特性×小组统计!$C$2:$C$4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特性×小组统计!$D$1</c:f>
              <c:strCache>
                <c:ptCount val="1"/>
                <c:pt idx="0">
                  <c:v>离线功能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特性×小组统计!$A$2:$A$4</c:f>
              <c:strCache>
                <c:ptCount val="3"/>
                <c:pt idx="0">
                  <c:v>软件-在线服务</c:v>
                </c:pt>
                <c:pt idx="1">
                  <c:v>软件-离线集群</c:v>
                </c:pt>
                <c:pt idx="2">
                  <c:v>软件-项目管理</c:v>
                </c:pt>
              </c:strCache>
            </c:strRef>
          </c:cat>
          <c:val>
            <c:numRef>
              <c:f>特性×小组统计!$D$2:$D$4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788d2a-f7b5-4ee2-87d8-66c450b7462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特性×客户缺陷分布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特性×客户统计!$B$1</c:f>
              <c:strCache>
                <c:ptCount val="1"/>
                <c:pt idx="0">
                  <c:v>PXW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特性×客户统计!$B$2:$B$4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特性×客户统计!$C$1</c:f>
              <c:strCache>
                <c:ptCount val="1"/>
                <c:pt idx="0">
                  <c:v>RBPS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特性×客户统计!$C$2:$C$4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特性×客户统计!$D$1</c:f>
              <c:strCache>
                <c:ptCount val="1"/>
                <c:pt idx="0">
                  <c:v>出厂测试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numFmt formatCode="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特性×客户统计!$A$2:$A$4</c:f>
              <c:strCache>
                <c:ptCount val="3"/>
                <c:pt idx="0">
                  <c:v>产率</c:v>
                </c:pt>
                <c:pt idx="1">
                  <c:v>在线功能</c:v>
                </c:pt>
                <c:pt idx="2">
                  <c:v>离线功能</c:v>
                </c:pt>
              </c:strCache>
            </c:strRef>
          </c:cat>
          <c:val>
            <c:numRef>
              <c:f>特性×客户统计!$D$2:$D$4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00"/>
        <c:overlap val="-3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缺陷数量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e656d1-1bec-4918-a5ef-c774a42249e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18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310515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25</xdr:row>
      <xdr:rowOff>0</xdr:rowOff>
    </xdr:from>
    <xdr:ext cx="7200000" cy="4544700"/>
    <xdr:graphicFrame>
      <xdr:nvGraphicFramePr>
        <xdr:cNvPr id="3" name="Chart 2"/>
        <xdr:cNvGraphicFramePr/>
      </xdr:nvGraphicFramePr>
      <xdr:xfrm>
        <a:off x="3810000" y="4305300"/>
        <a:ext cx="7199630" cy="4544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0015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10080000" cy="5188500"/>
    <xdr:graphicFrame>
      <xdr:nvGraphicFramePr>
        <xdr:cNvPr id="2" name="Chart 1"/>
        <xdr:cNvGraphicFramePr/>
      </xdr:nvGraphicFramePr>
      <xdr:xfrm>
        <a:off x="0" y="1219200"/>
        <a:ext cx="10079990" cy="518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7"/>
  <sheetViews>
    <sheetView tabSelected="1" topLeftCell="B1" workbookViewId="0">
      <pane ySplit="1" topLeftCell="A2" activePane="bottomLeft" state="frozen"/>
      <selection/>
      <selection pane="bottomLeft" activeCell="N2" sqref="N2:N17"/>
    </sheetView>
  </sheetViews>
  <sheetFormatPr defaultColWidth="9" defaultRowHeight="13.5"/>
  <cols>
    <col min="1" max="1" width="30" customWidth="1"/>
    <col min="2" max="2" width="22" customWidth="1"/>
    <col min="3" max="3" width="50" customWidth="1"/>
    <col min="4" max="4" width="14" customWidth="1"/>
    <col min="5" max="5" width="20" customWidth="1"/>
    <col min="6" max="6" width="10" customWidth="1"/>
    <col min="7" max="7" width="14" customWidth="1"/>
    <col min="8" max="12" width="12" customWidth="1"/>
    <col min="13" max="13" width="10" customWidth="1"/>
    <col min="14" max="14" width="12" customWidth="1"/>
  </cols>
  <sheetData>
    <row r="1" ht="15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idden="1" spans="1:14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36</v>
      </c>
    </row>
    <row r="4" spans="1:14">
      <c r="A4" s="2" t="s">
        <v>14</v>
      </c>
      <c r="B4" s="2" t="s">
        <v>37</v>
      </c>
      <c r="C4" s="2" t="s">
        <v>38</v>
      </c>
      <c r="D4" s="2" t="s">
        <v>39</v>
      </c>
      <c r="E4" s="2" t="s">
        <v>18</v>
      </c>
      <c r="F4" s="2" t="s">
        <v>40</v>
      </c>
      <c r="G4" s="2" t="s">
        <v>20</v>
      </c>
      <c r="H4" s="2" t="s">
        <v>41</v>
      </c>
      <c r="I4" s="2" t="s">
        <v>22</v>
      </c>
      <c r="J4" s="2" t="s">
        <v>23</v>
      </c>
      <c r="K4" s="2" t="s">
        <v>24</v>
      </c>
      <c r="L4" s="2" t="s">
        <v>42</v>
      </c>
      <c r="M4" s="2" t="s">
        <v>26</v>
      </c>
      <c r="N4" s="2" t="s">
        <v>27</v>
      </c>
    </row>
    <row r="5" spans="1:14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33</v>
      </c>
      <c r="G5" s="2" t="s">
        <v>48</v>
      </c>
      <c r="H5" s="2" t="s">
        <v>49</v>
      </c>
      <c r="I5" s="2" t="s">
        <v>22</v>
      </c>
      <c r="J5" s="2" t="s">
        <v>23</v>
      </c>
      <c r="K5" s="2" t="s">
        <v>50</v>
      </c>
      <c r="L5" s="2" t="s">
        <v>51</v>
      </c>
      <c r="M5" s="2" t="s">
        <v>52</v>
      </c>
      <c r="N5" s="2" t="s">
        <v>27</v>
      </c>
    </row>
    <row r="6" spans="1:14">
      <c r="A6" s="2" t="s">
        <v>53</v>
      </c>
      <c r="B6" s="2" t="s">
        <v>54</v>
      </c>
      <c r="C6" s="2" t="s">
        <v>55</v>
      </c>
      <c r="D6" s="2" t="s">
        <v>56</v>
      </c>
      <c r="E6" s="2" t="s">
        <v>32</v>
      </c>
      <c r="F6" s="2" t="s">
        <v>19</v>
      </c>
      <c r="G6" s="2" t="s">
        <v>34</v>
      </c>
      <c r="H6" s="2" t="s">
        <v>57</v>
      </c>
      <c r="I6" s="2" t="s">
        <v>22</v>
      </c>
      <c r="J6" s="2" t="s">
        <v>23</v>
      </c>
      <c r="K6" s="2" t="s">
        <v>50</v>
      </c>
      <c r="L6" s="2" t="s">
        <v>42</v>
      </c>
      <c r="M6" s="2" t="s">
        <v>52</v>
      </c>
      <c r="N6" s="2" t="s">
        <v>27</v>
      </c>
    </row>
    <row r="7" spans="1:14">
      <c r="A7" s="2" t="s">
        <v>58</v>
      </c>
      <c r="B7" s="2" t="s">
        <v>59</v>
      </c>
      <c r="C7" s="2" t="s">
        <v>60</v>
      </c>
      <c r="D7" s="2" t="s">
        <v>61</v>
      </c>
      <c r="E7" s="2" t="s">
        <v>18</v>
      </c>
      <c r="F7" s="2" t="s">
        <v>33</v>
      </c>
      <c r="G7" s="2" t="s">
        <v>20</v>
      </c>
      <c r="H7" s="2" t="s">
        <v>62</v>
      </c>
      <c r="I7" s="2" t="s">
        <v>22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27</v>
      </c>
    </row>
    <row r="8" hidden="1" spans="1:14">
      <c r="A8" s="2" t="s">
        <v>67</v>
      </c>
      <c r="B8" s="2" t="s">
        <v>68</v>
      </c>
      <c r="C8" s="2" t="s">
        <v>69</v>
      </c>
      <c r="D8" s="2" t="s">
        <v>70</v>
      </c>
      <c r="E8" s="2" t="s">
        <v>47</v>
      </c>
      <c r="F8" s="2" t="s">
        <v>40</v>
      </c>
      <c r="G8" s="2" t="s">
        <v>48</v>
      </c>
      <c r="H8" s="2" t="s">
        <v>71</v>
      </c>
      <c r="I8" s="2" t="s">
        <v>22</v>
      </c>
      <c r="J8" s="2" t="s">
        <v>63</v>
      </c>
      <c r="K8" s="2" t="s">
        <v>72</v>
      </c>
      <c r="L8" s="2" t="s">
        <v>73</v>
      </c>
      <c r="M8" s="2" t="s">
        <v>74</v>
      </c>
      <c r="N8" s="2" t="s">
        <v>36</v>
      </c>
    </row>
    <row r="9" spans="1:14">
      <c r="A9" s="2" t="s">
        <v>75</v>
      </c>
      <c r="B9" s="2" t="s">
        <v>76</v>
      </c>
      <c r="C9" s="2" t="s">
        <v>77</v>
      </c>
      <c r="D9" s="2" t="s">
        <v>78</v>
      </c>
      <c r="E9" s="2" t="s">
        <v>18</v>
      </c>
      <c r="F9" s="2" t="s">
        <v>33</v>
      </c>
      <c r="G9" s="2" t="s">
        <v>20</v>
      </c>
      <c r="H9" s="2" t="s">
        <v>79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</row>
    <row r="10" hidden="1" spans="1:14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32</v>
      </c>
      <c r="F10" s="2" t="s">
        <v>19</v>
      </c>
      <c r="G10" s="2" t="s">
        <v>34</v>
      </c>
      <c r="H10" s="2" t="s">
        <v>84</v>
      </c>
      <c r="I10" s="2" t="s">
        <v>22</v>
      </c>
      <c r="J10" s="2" t="s">
        <v>23</v>
      </c>
      <c r="K10" s="2" t="s">
        <v>24</v>
      </c>
      <c r="L10" s="2" t="s">
        <v>85</v>
      </c>
      <c r="M10" s="2" t="s">
        <v>26</v>
      </c>
      <c r="N10" s="2" t="s">
        <v>86</v>
      </c>
    </row>
    <row r="11" hidden="1" spans="1:14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47</v>
      </c>
      <c r="F11" s="2" t="s">
        <v>40</v>
      </c>
      <c r="G11" s="2" t="s">
        <v>48</v>
      </c>
      <c r="H11" s="2" t="s">
        <v>91</v>
      </c>
      <c r="I11" s="2" t="s">
        <v>22</v>
      </c>
      <c r="J11" s="2" t="s">
        <v>23</v>
      </c>
      <c r="K11" s="2" t="s">
        <v>24</v>
      </c>
      <c r="L11" s="2" t="s">
        <v>92</v>
      </c>
      <c r="M11" s="2" t="s">
        <v>26</v>
      </c>
      <c r="N11" s="2" t="s">
        <v>93</v>
      </c>
    </row>
    <row r="12" spans="1:14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18</v>
      </c>
      <c r="F12" s="2" t="s">
        <v>33</v>
      </c>
      <c r="G12" s="2" t="s">
        <v>20</v>
      </c>
      <c r="H12" s="2" t="s">
        <v>98</v>
      </c>
      <c r="I12" s="2" t="s">
        <v>22</v>
      </c>
      <c r="J12" s="2" t="s">
        <v>23</v>
      </c>
      <c r="K12" s="2" t="s">
        <v>50</v>
      </c>
      <c r="L12" s="2" t="s">
        <v>65</v>
      </c>
      <c r="M12" s="2" t="s">
        <v>52</v>
      </c>
      <c r="N12" s="2" t="s">
        <v>27</v>
      </c>
    </row>
    <row r="13" hidden="1" spans="1:14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32</v>
      </c>
      <c r="F13" s="2" t="s">
        <v>19</v>
      </c>
      <c r="G13" s="2" t="s">
        <v>34</v>
      </c>
      <c r="H13" s="2" t="s">
        <v>103</v>
      </c>
      <c r="I13" s="2" t="s">
        <v>22</v>
      </c>
      <c r="J13" s="2" t="s">
        <v>23</v>
      </c>
      <c r="K13" s="2" t="s">
        <v>104</v>
      </c>
      <c r="L13" s="2" t="s">
        <v>65</v>
      </c>
      <c r="M13" s="2" t="s">
        <v>105</v>
      </c>
      <c r="N13" s="2" t="s">
        <v>86</v>
      </c>
    </row>
    <row r="14" spans="1:14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</row>
    <row r="15" hidden="1" spans="1:14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36</v>
      </c>
    </row>
    <row r="16" spans="1:14">
      <c r="A16" s="2" t="s">
        <v>14</v>
      </c>
      <c r="B16" s="2" t="s">
        <v>37</v>
      </c>
      <c r="C16" s="2" t="s">
        <v>38</v>
      </c>
      <c r="D16" s="2" t="s">
        <v>39</v>
      </c>
      <c r="E16" s="2" t="s">
        <v>18</v>
      </c>
      <c r="F16" s="2" t="s">
        <v>40</v>
      </c>
      <c r="G16" s="2" t="s">
        <v>20</v>
      </c>
      <c r="H16" s="2" t="s">
        <v>41</v>
      </c>
      <c r="I16" s="2" t="s">
        <v>22</v>
      </c>
      <c r="J16" s="2" t="s">
        <v>23</v>
      </c>
      <c r="K16" s="2" t="s">
        <v>24</v>
      </c>
      <c r="L16" s="2" t="s">
        <v>42</v>
      </c>
      <c r="M16" s="2" t="s">
        <v>26</v>
      </c>
      <c r="N16" s="2" t="s">
        <v>27</v>
      </c>
    </row>
    <row r="17" spans="1:14">
      <c r="A17" s="2" t="s">
        <v>43</v>
      </c>
      <c r="B17" s="2" t="s">
        <v>44</v>
      </c>
      <c r="C17" s="2" t="s">
        <v>45</v>
      </c>
      <c r="D17" s="2" t="s">
        <v>46</v>
      </c>
      <c r="E17" s="2" t="s">
        <v>47</v>
      </c>
      <c r="F17" s="2" t="s">
        <v>33</v>
      </c>
      <c r="G17" s="2" t="s">
        <v>48</v>
      </c>
      <c r="H17" s="2" t="s">
        <v>49</v>
      </c>
      <c r="I17" s="2" t="s">
        <v>22</v>
      </c>
      <c r="J17" s="2" t="s">
        <v>23</v>
      </c>
      <c r="K17" s="2" t="s">
        <v>50</v>
      </c>
      <c r="L17" s="2" t="s">
        <v>51</v>
      </c>
      <c r="M17" s="2" t="s">
        <v>52</v>
      </c>
      <c r="N17" s="2" t="s">
        <v>27</v>
      </c>
    </row>
  </sheetData>
  <autoFilter xmlns:etc="http://www.wps.cn/officeDocument/2017/etCustomData" ref="A1:N17" etc:filterBottomFollowUsedRange="0">
    <filterColumn colId="13">
      <filters>
        <filter val="PXW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6" sqref="D6"/>
    </sheetView>
  </sheetViews>
  <sheetFormatPr defaultColWidth="9" defaultRowHeight="13.5" outlineLevelRow="4" outlineLevelCol="6"/>
  <cols>
    <col min="1" max="1" width="22" customWidth="1"/>
    <col min="2" max="7" width="14" customWidth="1"/>
  </cols>
  <sheetData>
    <row r="1" ht="15" spans="1:7">
      <c r="A1" s="14" t="s">
        <v>106</v>
      </c>
      <c r="B1" s="14" t="s">
        <v>74</v>
      </c>
      <c r="C1" s="14" t="s">
        <v>66</v>
      </c>
      <c r="D1" s="14" t="s">
        <v>105</v>
      </c>
      <c r="E1" s="14" t="s">
        <v>52</v>
      </c>
      <c r="F1" s="14" t="s">
        <v>26</v>
      </c>
      <c r="G1" s="14" t="s">
        <v>107</v>
      </c>
    </row>
    <row r="2" spans="1:7">
      <c r="A2" s="2" t="s">
        <v>47</v>
      </c>
      <c r="B2" s="3">
        <v>1</v>
      </c>
      <c r="C2" s="3">
        <v>0</v>
      </c>
      <c r="D2" s="3">
        <v>0</v>
      </c>
      <c r="E2" s="3">
        <v>1</v>
      </c>
      <c r="F2" s="3">
        <v>1</v>
      </c>
      <c r="G2" s="3">
        <v>3</v>
      </c>
    </row>
    <row r="3" spans="1:7">
      <c r="A3" s="2" t="s">
        <v>18</v>
      </c>
      <c r="B3" s="3">
        <v>0</v>
      </c>
      <c r="C3" s="3">
        <v>1</v>
      </c>
      <c r="D3" s="3">
        <v>0</v>
      </c>
      <c r="E3" s="3">
        <v>1</v>
      </c>
      <c r="F3" s="3">
        <v>3</v>
      </c>
      <c r="G3" s="3">
        <v>5</v>
      </c>
    </row>
    <row r="4" spans="1:7">
      <c r="A4" s="2" t="s">
        <v>32</v>
      </c>
      <c r="B4" s="3">
        <v>0</v>
      </c>
      <c r="C4" s="3">
        <v>0</v>
      </c>
      <c r="D4" s="3">
        <v>1</v>
      </c>
      <c r="E4" s="3">
        <v>1</v>
      </c>
      <c r="F4" s="3">
        <v>2</v>
      </c>
      <c r="G4" s="3">
        <v>4</v>
      </c>
    </row>
    <row r="5" spans="1:7">
      <c r="A5" s="4" t="s">
        <v>107</v>
      </c>
      <c r="B5" s="5">
        <v>1</v>
      </c>
      <c r="C5" s="5">
        <v>1</v>
      </c>
      <c r="D5" s="5">
        <v>1</v>
      </c>
      <c r="E5" s="5">
        <v>3</v>
      </c>
      <c r="F5" s="5">
        <v>6</v>
      </c>
      <c r="G5" s="5">
        <v>12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cols>
    <col min="1" max="1" width="22" customWidth="1"/>
    <col min="2" max="2" width="12" customWidth="1"/>
    <col min="3" max="5" width="14" customWidth="1"/>
  </cols>
  <sheetData>
    <row r="1" ht="15" spans="1:5">
      <c r="A1" s="8" t="s">
        <v>106</v>
      </c>
      <c r="B1" s="8" t="s">
        <v>5</v>
      </c>
      <c r="C1" s="8" t="s">
        <v>63</v>
      </c>
      <c r="D1" s="8" t="s">
        <v>23</v>
      </c>
      <c r="E1" s="8" t="s">
        <v>107</v>
      </c>
    </row>
    <row r="2" spans="1:5">
      <c r="A2" s="9" t="s">
        <v>47</v>
      </c>
      <c r="B2" s="9" t="s">
        <v>33</v>
      </c>
      <c r="C2" s="10">
        <v>0</v>
      </c>
      <c r="D2" s="10">
        <v>1</v>
      </c>
      <c r="E2" s="10">
        <v>1</v>
      </c>
    </row>
    <row r="3" spans="1:5">
      <c r="A3" s="9" t="s">
        <v>47</v>
      </c>
      <c r="B3" s="9" t="s">
        <v>40</v>
      </c>
      <c r="C3" s="10">
        <v>1</v>
      </c>
      <c r="D3" s="10">
        <v>1</v>
      </c>
      <c r="E3" s="10">
        <v>2</v>
      </c>
    </row>
    <row r="4" spans="1:5">
      <c r="A4" s="11" t="s">
        <v>18</v>
      </c>
      <c r="B4" s="11" t="s">
        <v>33</v>
      </c>
      <c r="C4" s="12">
        <v>1</v>
      </c>
      <c r="D4" s="12">
        <v>2</v>
      </c>
      <c r="E4" s="12">
        <v>3</v>
      </c>
    </row>
    <row r="5" spans="1:5">
      <c r="A5" s="11" t="s">
        <v>18</v>
      </c>
      <c r="B5" s="11" t="s">
        <v>40</v>
      </c>
      <c r="C5" s="12">
        <v>0</v>
      </c>
      <c r="D5" s="12">
        <v>1</v>
      </c>
      <c r="E5" s="12">
        <v>1</v>
      </c>
    </row>
    <row r="6" spans="1:5">
      <c r="A6" s="11" t="s">
        <v>18</v>
      </c>
      <c r="B6" s="11" t="s">
        <v>19</v>
      </c>
      <c r="C6" s="12">
        <v>0</v>
      </c>
      <c r="D6" s="12">
        <v>1</v>
      </c>
      <c r="E6" s="12">
        <v>1</v>
      </c>
    </row>
    <row r="7" spans="1:5">
      <c r="A7" s="9" t="s">
        <v>32</v>
      </c>
      <c r="B7" s="9" t="s">
        <v>33</v>
      </c>
      <c r="C7" s="10">
        <v>0</v>
      </c>
      <c r="D7" s="10">
        <v>1</v>
      </c>
      <c r="E7" s="10">
        <v>1</v>
      </c>
    </row>
    <row r="8" spans="1:5">
      <c r="A8" s="9" t="s">
        <v>32</v>
      </c>
      <c r="B8" s="9" t="s">
        <v>19</v>
      </c>
      <c r="C8" s="10">
        <v>0</v>
      </c>
      <c r="D8" s="10">
        <v>3</v>
      </c>
      <c r="E8" s="10">
        <v>3</v>
      </c>
    </row>
    <row r="9" spans="1:5">
      <c r="A9" s="4" t="s">
        <v>107</v>
      </c>
      <c r="B9" s="4" t="s">
        <v>108</v>
      </c>
      <c r="C9" s="5">
        <v>2</v>
      </c>
      <c r="D9" s="5">
        <v>10</v>
      </c>
      <c r="E9" s="5">
        <v>12</v>
      </c>
    </row>
    <row r="12" spans="1:5">
      <c r="A12" s="13" t="s">
        <v>109</v>
      </c>
    </row>
    <row r="13" spans="1:5">
      <c r="A13" s="8" t="s">
        <v>106</v>
      </c>
      <c r="B13" s="8" t="s">
        <v>33</v>
      </c>
      <c r="C13" s="8" t="s">
        <v>40</v>
      </c>
      <c r="D13" s="8" t="s">
        <v>19</v>
      </c>
    </row>
    <row r="14" spans="1:5">
      <c r="A14" s="2" t="s">
        <v>47</v>
      </c>
      <c r="B14" s="3">
        <v>1</v>
      </c>
      <c r="C14" s="3">
        <v>2</v>
      </c>
      <c r="D14" s="3">
        <v>0</v>
      </c>
    </row>
    <row r="15" spans="1:5">
      <c r="A15" s="2" t="s">
        <v>18</v>
      </c>
      <c r="B15" s="3">
        <v>3</v>
      </c>
      <c r="C15" s="3">
        <v>1</v>
      </c>
      <c r="D15" s="3">
        <v>1</v>
      </c>
    </row>
    <row r="16" spans="1:5">
      <c r="A16" s="2" t="s">
        <v>32</v>
      </c>
      <c r="B16" s="3">
        <v>1</v>
      </c>
      <c r="C16" s="3">
        <v>0</v>
      </c>
      <c r="D16" s="3">
        <v>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A1" sqref="A1"/>
    </sheetView>
  </sheetViews>
  <sheetFormatPr defaultColWidth="9" defaultRowHeight="13.5" outlineLevelCol="4"/>
  <cols>
    <col min="1" max="1" width="22" customWidth="1"/>
    <col min="2" max="5" width="14" customWidth="1"/>
  </cols>
  <sheetData>
    <row r="1" ht="15" spans="1:5">
      <c r="A1" s="7" t="s">
        <v>106</v>
      </c>
      <c r="B1" s="7" t="s">
        <v>110</v>
      </c>
      <c r="C1" s="7" t="s">
        <v>93</v>
      </c>
      <c r="D1" s="7" t="s">
        <v>36</v>
      </c>
      <c r="E1" s="7" t="s">
        <v>107</v>
      </c>
    </row>
    <row r="2" spans="1:5">
      <c r="A2" s="2" t="s">
        <v>47</v>
      </c>
      <c r="B2" s="3">
        <v>1</v>
      </c>
      <c r="C2" s="3">
        <v>1</v>
      </c>
      <c r="D2" s="3">
        <v>1</v>
      </c>
      <c r="E2" s="3">
        <v>3</v>
      </c>
    </row>
    <row r="3" spans="1:5">
      <c r="A3" s="2" t="s">
        <v>18</v>
      </c>
      <c r="B3" s="3">
        <v>5</v>
      </c>
      <c r="C3" s="3">
        <v>0</v>
      </c>
      <c r="D3" s="3">
        <v>0</v>
      </c>
      <c r="E3" s="3">
        <v>5</v>
      </c>
    </row>
    <row r="4" spans="1:5">
      <c r="A4" s="2" t="s">
        <v>32</v>
      </c>
      <c r="B4" s="3">
        <v>1</v>
      </c>
      <c r="C4" s="3">
        <v>0</v>
      </c>
      <c r="D4" s="3">
        <v>1</v>
      </c>
      <c r="E4" s="3">
        <v>2</v>
      </c>
    </row>
    <row r="5" spans="1:5">
      <c r="A5" s="4" t="s">
        <v>107</v>
      </c>
      <c r="B5" s="5">
        <v>7</v>
      </c>
      <c r="C5" s="5">
        <v>1</v>
      </c>
      <c r="D5" s="5">
        <v>2</v>
      </c>
      <c r="E5" s="5">
        <v>10</v>
      </c>
    </row>
    <row r="26" spans="1:2">
      <c r="A26" s="7" t="s">
        <v>111</v>
      </c>
      <c r="B26" s="7" t="s">
        <v>112</v>
      </c>
    </row>
    <row r="27" spans="1:2">
      <c r="A27" s="2" t="s">
        <v>110</v>
      </c>
      <c r="B27" s="3">
        <v>7</v>
      </c>
    </row>
    <row r="28" spans="1:2">
      <c r="A28" s="2" t="s">
        <v>36</v>
      </c>
      <c r="B28" s="3">
        <v>2</v>
      </c>
    </row>
    <row r="29" spans="1:2">
      <c r="A29" s="2" t="s">
        <v>93</v>
      </c>
      <c r="B29" s="3">
        <v>1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cols>
    <col min="1" max="1" width="22" customWidth="1"/>
    <col min="2" max="5" width="14" customWidth="1"/>
  </cols>
  <sheetData>
    <row r="1" spans="1:5">
      <c r="A1" s="6" t="s">
        <v>106</v>
      </c>
      <c r="B1" s="6" t="s">
        <v>34</v>
      </c>
      <c r="C1" s="6" t="s">
        <v>48</v>
      </c>
      <c r="D1" s="6" t="s">
        <v>20</v>
      </c>
      <c r="E1" s="6" t="s">
        <v>107</v>
      </c>
    </row>
    <row r="2" spans="1:5">
      <c r="A2" s="2" t="s">
        <v>47</v>
      </c>
      <c r="B2" s="3">
        <v>0</v>
      </c>
      <c r="C2" s="3">
        <v>3</v>
      </c>
      <c r="D2" s="3">
        <v>0</v>
      </c>
      <c r="E2" s="3">
        <v>3</v>
      </c>
    </row>
    <row r="3" spans="1:5">
      <c r="A3" s="2" t="s">
        <v>18</v>
      </c>
      <c r="B3" s="3">
        <v>0</v>
      </c>
      <c r="C3" s="3">
        <v>0</v>
      </c>
      <c r="D3" s="3">
        <v>5</v>
      </c>
      <c r="E3" s="3">
        <v>5</v>
      </c>
    </row>
    <row r="4" spans="1:5">
      <c r="A4" s="2" t="s">
        <v>32</v>
      </c>
      <c r="B4" s="3">
        <v>4</v>
      </c>
      <c r="C4" s="3">
        <v>0</v>
      </c>
      <c r="D4" s="3">
        <v>0</v>
      </c>
      <c r="E4" s="3">
        <v>4</v>
      </c>
    </row>
    <row r="5" spans="1:5">
      <c r="A5" s="4" t="s">
        <v>107</v>
      </c>
      <c r="B5" s="5">
        <v>4</v>
      </c>
      <c r="C5" s="5">
        <v>3</v>
      </c>
      <c r="D5" s="5">
        <v>5</v>
      </c>
      <c r="E5" s="5">
        <v>12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cols>
    <col min="1" max="1" width="22" customWidth="1"/>
    <col min="2" max="5" width="14" customWidth="1"/>
  </cols>
  <sheetData>
    <row r="1" ht="15" spans="1:5">
      <c r="A1" s="1" t="s">
        <v>6</v>
      </c>
      <c r="B1" s="1" t="s">
        <v>110</v>
      </c>
      <c r="C1" s="1" t="s">
        <v>93</v>
      </c>
      <c r="D1" s="1" t="s">
        <v>36</v>
      </c>
      <c r="E1" s="1" t="s">
        <v>107</v>
      </c>
    </row>
    <row r="2" spans="1:5">
      <c r="A2" s="2" t="s">
        <v>34</v>
      </c>
      <c r="B2" s="3">
        <v>1</v>
      </c>
      <c r="C2" s="3">
        <v>0</v>
      </c>
      <c r="D2" s="3">
        <v>1</v>
      </c>
      <c r="E2" s="3">
        <v>2</v>
      </c>
    </row>
    <row r="3" spans="1:5">
      <c r="A3" s="2" t="s">
        <v>48</v>
      </c>
      <c r="B3" s="3">
        <v>1</v>
      </c>
      <c r="C3" s="3">
        <v>1</v>
      </c>
      <c r="D3" s="3">
        <v>1</v>
      </c>
      <c r="E3" s="3">
        <v>3</v>
      </c>
    </row>
    <row r="4" spans="1:5">
      <c r="A4" s="2" t="s">
        <v>20</v>
      </c>
      <c r="B4" s="3">
        <v>5</v>
      </c>
      <c r="C4" s="3">
        <v>0</v>
      </c>
      <c r="D4" s="3">
        <v>0</v>
      </c>
      <c r="E4" s="3">
        <v>5</v>
      </c>
    </row>
    <row r="5" spans="1:5">
      <c r="A5" s="4" t="s">
        <v>107</v>
      </c>
      <c r="B5" s="5">
        <v>7</v>
      </c>
      <c r="C5" s="5">
        <v>1</v>
      </c>
      <c r="D5" s="5">
        <v>2</v>
      </c>
      <c r="E5" s="5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原始数据</vt:lpstr>
      <vt:lpstr>按小组月度统计</vt:lpstr>
      <vt:lpstr>按小组年度统计</vt:lpstr>
      <vt:lpstr>按客户统计</vt:lpstr>
      <vt:lpstr>特性×小组统计</vt:lpstr>
      <vt:lpstr>特性×客户统计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李波</cp:lastModifiedBy>
  <dcterms:created xsi:type="dcterms:W3CDTF">2026-04-30T09:00:00Z</dcterms:created>
  <dcterms:modified xsi:type="dcterms:W3CDTF">2026-05-31T15:29:10Z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F740DC17CDDA4240BE12EA5239688686_12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