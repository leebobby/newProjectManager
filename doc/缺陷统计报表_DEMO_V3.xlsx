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按小组月度统计" sheetId="2" state="visible" r:id="rId2"/>
    <sheet xmlns:r="http://schemas.openxmlformats.org/officeDocument/2006/relationships" name="按小组年度统计" sheetId="3" state="visible" r:id="rId3"/>
    <sheet xmlns:r="http://schemas.openxmlformats.org/officeDocument/2006/relationships" name="按客户统计" sheetId="4" state="visible" r:id="rId4"/>
    <sheet xmlns:r="http://schemas.openxmlformats.org/officeDocument/2006/relationships" name="特性×小组统计" sheetId="5" state="visible" r:id="rId5"/>
    <sheet xmlns:r="http://schemas.openxmlformats.org/officeDocument/2006/relationships" name="特性×客户统计" sheetId="6" state="visible" r:id="rId6"/>
  </sheets>
  <definedNames>
    <definedName name="_xlnm._FilterDatabase" localSheetId="0" hidden="1">'原始数据'!$A$1:$N$13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BF8F0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各小组月度缺陷趋势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'按小组月度统计'!B1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'按小组月度统计'!$A$2:$A$4</f>
            </numRef>
          </cat>
          <val>
            <numRef>
              <f>'按小组月度统计'!$B$2:$B$4</f>
            </numRef>
          </val>
        </ser>
        <ser>
          <idx val="1"/>
          <order val="1"/>
          <tx>
            <strRef>
              <f>'按小组月度统计'!C1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'按小组月度统计'!$A$2:$A$4</f>
            </numRef>
          </cat>
          <val>
            <numRef>
              <f>'按小组月度统计'!$C$2:$C$4</f>
            </numRef>
          </val>
        </ser>
        <ser>
          <idx val="2"/>
          <order val="2"/>
          <tx>
            <strRef>
              <f>'按小组月度统计'!D1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'按小组月度统计'!$A$2:$A$4</f>
            </numRef>
          </cat>
          <val>
            <numRef>
              <f>'按小组月度统计'!$D$2:$D$4</f>
            </numRef>
          </val>
        </ser>
        <ser>
          <idx val="3"/>
          <order val="3"/>
          <tx>
            <strRef>
              <f>'按小组月度统计'!E1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'按小组月度统计'!$A$2:$A$4</f>
            </numRef>
          </cat>
          <val>
            <numRef>
              <f>'按小组月度统计'!$E$2:$E$4</f>
            </numRef>
          </val>
        </ser>
        <ser>
          <idx val="4"/>
          <order val="4"/>
          <tx>
            <strRef>
              <f>'按小组月度统计'!F1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'按小组月度统计'!$A$2:$A$4</f>
            </numRef>
          </cat>
          <val>
            <numRef>
              <f>'按小组月度统计'!$F$2:$F$4</f>
            </numRef>
          </val>
        </ser>
        <gapWidth val="200"/>
        <overlap val="-30"/>
        <axId val="10"/>
        <axId val="100"/>
      </barChart>
      <catAx>
        <axId val="10"/>
        <scaling>
          <orientation val="minMax"/>
        </scaling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各小组缺陷统计（按严重程度）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'按小组年度统计'!B13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'按小组年度统计'!$A$14:$A$16</f>
            </numRef>
          </cat>
          <val>
            <numRef>
              <f>'按小组年度统计'!$B$14:$B$16</f>
            </numRef>
          </val>
        </ser>
        <ser>
          <idx val="1"/>
          <order val="1"/>
          <tx>
            <strRef>
              <f>'按小组年度统计'!C13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'按小组年度统计'!$A$14:$A$16</f>
            </numRef>
          </cat>
          <val>
            <numRef>
              <f>'按小组年度统计'!$C$14:$C$16</f>
            </numRef>
          </val>
        </ser>
        <ser>
          <idx val="2"/>
          <order val="2"/>
          <tx>
            <strRef>
              <f>'按小组年度统计'!D13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'按小组年度统计'!$A$14:$A$16</f>
            </numRef>
          </cat>
          <val>
            <numRef>
              <f>'按小组年度统计'!$D$14:$D$16</f>
            </numRef>
          </val>
        </ser>
        <gapWidth val="200"/>
        <overlap val="100"/>
        <axId val="10"/>
        <axId val="100"/>
      </barChart>
      <catAx>
        <axId val="10"/>
        <scaling>
          <orientation val="minMax"/>
        </scaling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各小组×客户缺陷分布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'按客户统计'!B1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'按客户统计'!$A$2:$A$4</f>
            </numRef>
          </cat>
          <val>
            <numRef>
              <f>'按客户统计'!$B$2:$B$4</f>
            </numRef>
          </val>
        </ser>
        <ser>
          <idx val="1"/>
          <order val="1"/>
          <tx>
            <strRef>
              <f>'按客户统计'!C1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'按客户统计'!$A$2:$A$4</f>
            </numRef>
          </cat>
          <val>
            <numRef>
              <f>'按客户统计'!$C$2:$C$4</f>
            </numRef>
          </val>
        </ser>
        <ser>
          <idx val="2"/>
          <order val="2"/>
          <tx>
            <strRef>
              <f>'按客户统计'!D1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'按客户统计'!$A$2:$A$4</f>
            </numRef>
          </cat>
          <val>
            <numRef>
              <f>'按客户统计'!$D$2:$D$4</f>
            </numRef>
          </val>
        </ser>
        <gapWidth val="200"/>
        <overlap val="-30"/>
        <axId val="10"/>
        <axId val="100"/>
      </barChart>
      <catAx>
        <axId val="10"/>
        <scaling>
          <orientation val="minMax"/>
        </scaling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客户面缺陷占比</a:t>
            </a:r>
          </a:p>
        </rich>
      </tx>
    </title>
    <plotArea>
      <pieChart>
        <varyColors val="1"/>
        <ser>
          <idx val="0"/>
          <order val="0"/>
          <tx>
            <strRef>
              <f>'按客户统计'!B26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Lbls>
            <numFmt formatCode="0"/>
            <showVal val="1"/>
            <showCatName val="1"/>
            <showPercent val="1"/>
            <showLeaderLines val="1"/>
          </dLbls>
          <cat>
            <numRef>
              <f>'按客户统计'!$A$27:$A$29</f>
            </numRef>
          </cat>
          <val>
            <numRef>
              <f>'按客户统计'!$B$27:$B$29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特性×小组缺陷分布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'特性×小组统计'!B1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'特性×小组统计'!$A$2:$A$4</f>
            </numRef>
          </cat>
          <val>
            <numRef>
              <f>'特性×小组统计'!$B$2:$B$4</f>
            </numRef>
          </val>
        </ser>
        <ser>
          <idx val="1"/>
          <order val="1"/>
          <tx>
            <strRef>
              <f>'特性×小组统计'!C1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'特性×小组统计'!$A$2:$A$4</f>
            </numRef>
          </cat>
          <val>
            <numRef>
              <f>'特性×小组统计'!$C$2:$C$4</f>
            </numRef>
          </val>
        </ser>
        <ser>
          <idx val="2"/>
          <order val="2"/>
          <tx>
            <strRef>
              <f>'特性×小组统计'!D1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'特性×小组统计'!$A$2:$A$4</f>
            </numRef>
          </cat>
          <val>
            <numRef>
              <f>'特性×小组统计'!$D$2:$D$4</f>
            </numRef>
          </val>
        </ser>
        <gapWidth val="200"/>
        <overlap val="-30"/>
        <axId val="10"/>
        <axId val="100"/>
      </barChart>
      <catAx>
        <axId val="10"/>
        <scaling>
          <orientation val="minMax"/>
        </scaling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特性×客户缺陷分布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'特性×客户统计'!B1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'特性×客户统计'!$A$2:$A$4</f>
            </numRef>
          </cat>
          <val>
            <numRef>
              <f>'特性×客户统计'!$B$2:$B$4</f>
            </numRef>
          </val>
        </ser>
        <ser>
          <idx val="1"/>
          <order val="1"/>
          <tx>
            <strRef>
              <f>'特性×客户统计'!C1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'特性×客户统计'!$A$2:$A$4</f>
            </numRef>
          </cat>
          <val>
            <numRef>
              <f>'特性×客户统计'!$C$2:$C$4</f>
            </numRef>
          </val>
        </ser>
        <ser>
          <idx val="2"/>
          <order val="2"/>
          <tx>
            <strRef>
              <f>'特性×客户统计'!D1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0"/>
            <showVal val="1"/>
          </dLbls>
          <cat>
            <numRef>
              <f>'特性×客户统计'!$A$2:$A$4</f>
            </numRef>
          </cat>
          <val>
            <numRef>
              <f>'特性×客户统计'!$D$2:$D$4</f>
            </numRef>
          </val>
        </ser>
        <gapWidth val="200"/>
        <overlap val="-30"/>
        <axId val="10"/>
        <axId val="100"/>
      </barChart>
      <catAx>
        <axId val="10"/>
        <scaling>
          <orientation val="minMax"/>
        </scaling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25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7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  <col width="14" customWidth="1" min="4" max="4"/>
    <col width="20" customWidth="1" min="5" max="5"/>
    <col width="10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版本信息</t>
        </is>
      </c>
      <c r="B1" s="1" t="inlineStr">
        <is>
          <t>缺陷业务编号</t>
        </is>
      </c>
      <c r="C1" s="1" t="inlineStr">
        <is>
          <t>标题</t>
        </is>
      </c>
      <c r="D1" s="1" t="inlineStr">
        <is>
          <t>当前责任人</t>
        </is>
      </c>
      <c r="E1" s="1" t="inlineStr">
        <is>
          <t>当前责任人所属小组</t>
        </is>
      </c>
      <c r="F1" s="1" t="inlineStr">
        <is>
          <t>严重程度</t>
        </is>
      </c>
      <c r="G1" s="1" t="inlineStr">
        <is>
          <t>特性</t>
        </is>
      </c>
      <c r="H1" s="1" t="inlineStr">
        <is>
          <t>模块</t>
        </is>
      </c>
      <c r="I1" s="1" t="inlineStr">
        <is>
          <t>是否SDTS</t>
        </is>
      </c>
      <c r="J1" s="1" t="inlineStr">
        <is>
          <t>年份</t>
        </is>
      </c>
      <c r="K1" s="1" t="inlineStr">
        <is>
          <t>月份</t>
        </is>
      </c>
      <c r="L1" s="1" t="inlineStr">
        <is>
          <t>日期</t>
        </is>
      </c>
      <c r="M1" s="1" t="inlineStr">
        <is>
          <t>年月</t>
        </is>
      </c>
      <c r="N1" s="1" t="inlineStr">
        <is>
          <t>标题分类</t>
        </is>
      </c>
    </row>
    <row r="2">
      <c r="A2" s="2" t="inlineStr">
        <is>
          <t>YLS3000 V100R001C00SPC130</t>
        </is>
      </c>
      <c r="B2" s="2" t="inlineStr">
        <is>
          <t>SDTS2026042300819</t>
        </is>
      </c>
      <c r="C2" s="2" t="inlineStr">
        <is>
          <t>【YLS】【RBPS】【830】【质量深耕】test3</t>
        </is>
      </c>
      <c r="D2" s="2" t="inlineStr">
        <is>
          <t>AAA</t>
        </is>
      </c>
      <c r="E2" s="2" t="inlineStr">
        <is>
          <t>软件-离线集群</t>
        </is>
      </c>
      <c r="F2" s="2" t="inlineStr">
        <is>
          <t>提示</t>
        </is>
      </c>
      <c r="G2" s="2" t="inlineStr">
        <is>
          <t>离线功能</t>
        </is>
      </c>
      <c r="H2" s="2" t="inlineStr">
        <is>
          <t>aaa</t>
        </is>
      </c>
      <c r="I2" s="2" t="inlineStr">
        <is>
          <t>是</t>
        </is>
      </c>
      <c r="J2" s="2" t="inlineStr">
        <is>
          <t>2026</t>
        </is>
      </c>
      <c r="K2" s="2" t="inlineStr">
        <is>
          <t>04</t>
        </is>
      </c>
      <c r="L2" s="2" t="inlineStr">
        <is>
          <t>23</t>
        </is>
      </c>
      <c r="M2" s="2" t="inlineStr">
        <is>
          <t>2026-04</t>
        </is>
      </c>
      <c r="N2" s="2" t="inlineStr">
        <is>
          <t>PXW</t>
        </is>
      </c>
    </row>
    <row r="3">
      <c r="A3" s="2" t="inlineStr">
        <is>
          <t>YLS3000 V100R001C00B007</t>
        </is>
      </c>
      <c r="B3" s="2" t="inlineStr">
        <is>
          <t>SDTS2026042300326</t>
        </is>
      </c>
      <c r="C3" s="2" t="inlineStr">
        <is>
          <t>【YLS】【YLS5020】【出厂测试】test2</t>
        </is>
      </c>
      <c r="D3" s="2" t="inlineStr">
        <is>
          <t>bbb</t>
        </is>
      </c>
      <c r="E3" s="2" t="inlineStr">
        <is>
          <t>软件-项目管理</t>
        </is>
      </c>
      <c r="F3" s="2" t="inlineStr">
        <is>
          <t>一般</t>
        </is>
      </c>
      <c r="G3" s="2" t="inlineStr">
        <is>
          <t>产率</t>
        </is>
      </c>
      <c r="H3" s="2" t="inlineStr">
        <is>
          <t>bbbb</t>
        </is>
      </c>
      <c r="I3" s="2" t="inlineStr">
        <is>
          <t>是</t>
        </is>
      </c>
      <c r="J3" s="2" t="inlineStr">
        <is>
          <t>2026</t>
        </is>
      </c>
      <c r="K3" s="2" t="inlineStr">
        <is>
          <t>04</t>
        </is>
      </c>
      <c r="L3" s="2" t="inlineStr">
        <is>
          <t>23</t>
        </is>
      </c>
      <c r="M3" s="2" t="inlineStr">
        <is>
          <t>2026-04</t>
        </is>
      </c>
      <c r="N3" s="2" t="inlineStr">
        <is>
          <t>出厂测试</t>
        </is>
      </c>
    </row>
    <row r="4">
      <c r="A4" s="2" t="inlineStr">
        <is>
          <t>YLS3000 V100R001C00SPC130</t>
        </is>
      </c>
      <c r="B4" s="2" t="inlineStr">
        <is>
          <t>SDTS2026042200101</t>
        </is>
      </c>
      <c r="C4" s="2" t="inlineStr">
        <is>
          <t>【YLS】【PXW】【830】【回归】test4</t>
        </is>
      </c>
      <c r="D4" s="2" t="inlineStr">
        <is>
          <t>CCC</t>
        </is>
      </c>
      <c r="E4" s="2" t="inlineStr">
        <is>
          <t>软件-离线集群</t>
        </is>
      </c>
      <c r="F4" s="2" t="inlineStr">
        <is>
          <t>严重</t>
        </is>
      </c>
      <c r="G4" s="2" t="inlineStr">
        <is>
          <t>离线功能</t>
        </is>
      </c>
      <c r="H4" s="2" t="inlineStr">
        <is>
          <t>ccc</t>
        </is>
      </c>
      <c r="I4" s="2" t="inlineStr">
        <is>
          <t>是</t>
        </is>
      </c>
      <c r="J4" s="2" t="inlineStr">
        <is>
          <t>2026</t>
        </is>
      </c>
      <c r="K4" s="2" t="inlineStr">
        <is>
          <t>04</t>
        </is>
      </c>
      <c r="L4" s="2" t="inlineStr">
        <is>
          <t>22</t>
        </is>
      </c>
      <c r="M4" s="2" t="inlineStr">
        <is>
          <t>2026-04</t>
        </is>
      </c>
      <c r="N4" s="2" t="inlineStr">
        <is>
          <t>PXW</t>
        </is>
      </c>
    </row>
    <row r="5">
      <c r="A5" s="2" t="inlineStr">
        <is>
          <t>YLS3000 V100R001C00B008</t>
        </is>
      </c>
      <c r="B5" s="2" t="inlineStr">
        <is>
          <t>SDTS2026032100555</t>
        </is>
      </c>
      <c r="C5" s="2" t="inlineStr">
        <is>
          <t>【YLS】【PST】【性能优化】test5</t>
        </is>
      </c>
      <c r="D5" s="2" t="inlineStr">
        <is>
          <t>DDD</t>
        </is>
      </c>
      <c r="E5" s="2" t="inlineStr">
        <is>
          <t>软件-在线服务</t>
        </is>
      </c>
      <c r="F5" s="2" t="inlineStr">
        <is>
          <t>一般</t>
        </is>
      </c>
      <c r="G5" s="2" t="inlineStr">
        <is>
          <t>在线功能</t>
        </is>
      </c>
      <c r="H5" s="2" t="inlineStr">
        <is>
          <t>ddd</t>
        </is>
      </c>
      <c r="I5" s="2" t="inlineStr">
        <is>
          <t>是</t>
        </is>
      </c>
      <c r="J5" s="2" t="inlineStr">
        <is>
          <t>2026</t>
        </is>
      </c>
      <c r="K5" s="2" t="inlineStr">
        <is>
          <t>03</t>
        </is>
      </c>
      <c r="L5" s="2" t="inlineStr">
        <is>
          <t>21</t>
        </is>
      </c>
      <c r="M5" s="2" t="inlineStr">
        <is>
          <t>2026-03</t>
        </is>
      </c>
      <c r="N5" s="2" t="inlineStr">
        <is>
          <t>PXW</t>
        </is>
      </c>
    </row>
    <row r="6">
      <c r="A6" s="2" t="inlineStr">
        <is>
          <t>YLS3000 V100R001C00SPC131</t>
        </is>
      </c>
      <c r="B6" s="2" t="inlineStr">
        <is>
          <t>SDTS2026032200777</t>
        </is>
      </c>
      <c r="C6" s="2" t="inlineStr">
        <is>
          <t>【YLS】【RBPS】【830】test6</t>
        </is>
      </c>
      <c r="D6" s="2" t="inlineStr">
        <is>
          <t>EEE</t>
        </is>
      </c>
      <c r="E6" s="2" t="inlineStr">
        <is>
          <t>软件-项目管理</t>
        </is>
      </c>
      <c r="F6" s="2" t="inlineStr">
        <is>
          <t>提示</t>
        </is>
      </c>
      <c r="G6" s="2" t="inlineStr">
        <is>
          <t>产率</t>
        </is>
      </c>
      <c r="H6" s="2" t="inlineStr">
        <is>
          <t>eee</t>
        </is>
      </c>
      <c r="I6" s="2" t="inlineStr">
        <is>
          <t>是</t>
        </is>
      </c>
      <c r="J6" s="2" t="inlineStr">
        <is>
          <t>2026</t>
        </is>
      </c>
      <c r="K6" s="2" t="inlineStr">
        <is>
          <t>03</t>
        </is>
      </c>
      <c r="L6" s="2" t="inlineStr">
        <is>
          <t>22</t>
        </is>
      </c>
      <c r="M6" s="2" t="inlineStr">
        <is>
          <t>2026-03</t>
        </is>
      </c>
      <c r="N6" s="2" t="inlineStr">
        <is>
          <t>PXW</t>
        </is>
      </c>
    </row>
    <row r="7">
      <c r="A7" s="2" t="inlineStr">
        <is>
          <t>YLS3000 V100R001C00B009</t>
        </is>
      </c>
      <c r="B7" s="2" t="inlineStr">
        <is>
          <t>SDTS2025120100200</t>
        </is>
      </c>
      <c r="C7" s="2" t="inlineStr">
        <is>
          <t>【YLS】【PXW】【功能验证】test7</t>
        </is>
      </c>
      <c r="D7" s="2" t="inlineStr">
        <is>
          <t>FFF</t>
        </is>
      </c>
      <c r="E7" s="2" t="inlineStr">
        <is>
          <t>软件-离线集群</t>
        </is>
      </c>
      <c r="F7" s="2" t="inlineStr">
        <is>
          <t>一般</t>
        </is>
      </c>
      <c r="G7" s="2" t="inlineStr">
        <is>
          <t>离线功能</t>
        </is>
      </c>
      <c r="H7" s="2" t="inlineStr">
        <is>
          <t>fff</t>
        </is>
      </c>
      <c r="I7" s="2" t="inlineStr">
        <is>
          <t>是</t>
        </is>
      </c>
      <c r="J7" s="2" t="inlineStr">
        <is>
          <t>2025</t>
        </is>
      </c>
      <c r="K7" s="2" t="inlineStr">
        <is>
          <t>12</t>
        </is>
      </c>
      <c r="L7" s="2" t="inlineStr">
        <is>
          <t>01</t>
        </is>
      </c>
      <c r="M7" s="2" t="inlineStr">
        <is>
          <t>2025-12</t>
        </is>
      </c>
      <c r="N7" s="2" t="inlineStr">
        <is>
          <t>PXW</t>
        </is>
      </c>
    </row>
    <row r="8">
      <c r="A8" s="2" t="inlineStr">
        <is>
          <t>YLS3000 V100R001C00SPC132</t>
        </is>
      </c>
      <c r="B8" s="2" t="inlineStr">
        <is>
          <t>SDTS2025110500333</t>
        </is>
      </c>
      <c r="C8" s="2" t="inlineStr">
        <is>
          <t>【YLS】【出厂测试】test8</t>
        </is>
      </c>
      <c r="D8" s="2" t="inlineStr">
        <is>
          <t>GGG</t>
        </is>
      </c>
      <c r="E8" s="2" t="inlineStr">
        <is>
          <t>软件-在线服务</t>
        </is>
      </c>
      <c r="F8" s="2" t="inlineStr">
        <is>
          <t>严重</t>
        </is>
      </c>
      <c r="G8" s="2" t="inlineStr">
        <is>
          <t>在线功能</t>
        </is>
      </c>
      <c r="H8" s="2" t="inlineStr">
        <is>
          <t>ggg</t>
        </is>
      </c>
      <c r="I8" s="2" t="inlineStr">
        <is>
          <t>是</t>
        </is>
      </c>
      <c r="J8" s="2" t="inlineStr">
        <is>
          <t>2025</t>
        </is>
      </c>
      <c r="K8" s="2" t="inlineStr">
        <is>
          <t>11</t>
        </is>
      </c>
      <c r="L8" s="2" t="inlineStr">
        <is>
          <t>05</t>
        </is>
      </c>
      <c r="M8" s="2" t="inlineStr">
        <is>
          <t>2025-11</t>
        </is>
      </c>
      <c r="N8" s="2" t="inlineStr">
        <is>
          <t>出厂测试</t>
        </is>
      </c>
    </row>
    <row r="9">
      <c r="A9" s="2" t="inlineStr">
        <is>
          <t>YLS3000 V100R001C00B010</t>
        </is>
      </c>
      <c r="B9" s="2" t="inlineStr">
        <is>
          <t>SDTS2026042300999</t>
        </is>
      </c>
      <c r="C9" s="2" t="inlineStr">
        <is>
          <t>【YLS】【830】【PST】test9</t>
        </is>
      </c>
      <c r="D9" s="2" t="inlineStr">
        <is>
          <t>HHH</t>
        </is>
      </c>
      <c r="E9" s="2" t="inlineStr">
        <is>
          <t>软件-离线集群</t>
        </is>
      </c>
      <c r="F9" s="2" t="inlineStr">
        <is>
          <t>一般</t>
        </is>
      </c>
      <c r="G9" s="2" t="inlineStr">
        <is>
          <t>离线功能</t>
        </is>
      </c>
      <c r="H9" s="2" t="inlineStr">
        <is>
          <t>hhh</t>
        </is>
      </c>
      <c r="I9" s="2" t="inlineStr">
        <is>
          <t>是</t>
        </is>
      </c>
      <c r="J9" s="2" t="inlineStr">
        <is>
          <t>2026</t>
        </is>
      </c>
      <c r="K9" s="2" t="inlineStr">
        <is>
          <t>04</t>
        </is>
      </c>
      <c r="L9" s="2" t="inlineStr">
        <is>
          <t>23</t>
        </is>
      </c>
      <c r="M9" s="2" t="inlineStr">
        <is>
          <t>2026-04</t>
        </is>
      </c>
      <c r="N9" s="2" t="inlineStr">
        <is>
          <t>PXW</t>
        </is>
      </c>
    </row>
    <row r="10">
      <c r="A10" s="2" t="inlineStr">
        <is>
          <t>YLS3000 V100R001C00B011</t>
        </is>
      </c>
      <c r="B10" s="2" t="inlineStr">
        <is>
          <t>SDTS2026041500100</t>
        </is>
      </c>
      <c r="C10" s="2" t="inlineStr">
        <is>
          <t>【YLS】【日常修复】test10</t>
        </is>
      </c>
      <c r="D10" s="2" t="inlineStr">
        <is>
          <t>III</t>
        </is>
      </c>
      <c r="E10" s="2" t="inlineStr">
        <is>
          <t>软件-项目管理</t>
        </is>
      </c>
      <c r="F10" s="2" t="inlineStr">
        <is>
          <t>提示</t>
        </is>
      </c>
      <c r="G10" s="2" t="inlineStr">
        <is>
          <t>产率</t>
        </is>
      </c>
      <c r="H10" s="2" t="inlineStr">
        <is>
          <t>iii</t>
        </is>
      </c>
      <c r="I10" s="2" t="inlineStr">
        <is>
          <t>是</t>
        </is>
      </c>
      <c r="J10" s="2" t="inlineStr">
        <is>
          <t>2026</t>
        </is>
      </c>
      <c r="K10" s="2" t="inlineStr">
        <is>
          <t>04</t>
        </is>
      </c>
      <c r="L10" s="2" t="inlineStr">
        <is>
          <t>15</t>
        </is>
      </c>
      <c r="M10" s="2" t="inlineStr">
        <is>
          <t>2026-04</t>
        </is>
      </c>
      <c r="N10" s="2" t="inlineStr">
        <is>
          <t>研发</t>
        </is>
      </c>
    </row>
    <row r="11">
      <c r="A11" s="2" t="inlineStr">
        <is>
          <t>YLS3000 V100R001C00B012</t>
        </is>
      </c>
      <c r="B11" s="2" t="inlineStr">
        <is>
          <t>SDTS2026041600200</t>
        </is>
      </c>
      <c r="C11" s="2" t="inlineStr">
        <is>
          <t>【YLS】【RBPS】【安全加固】test11</t>
        </is>
      </c>
      <c r="D11" s="2" t="inlineStr">
        <is>
          <t>JJJ</t>
        </is>
      </c>
      <c r="E11" s="2" t="inlineStr">
        <is>
          <t>软件-在线服务</t>
        </is>
      </c>
      <c r="F11" s="2" t="inlineStr">
        <is>
          <t>严重</t>
        </is>
      </c>
      <c r="G11" s="2" t="inlineStr">
        <is>
          <t>在线功能</t>
        </is>
      </c>
      <c r="H11" s="2" t="inlineStr">
        <is>
          <t>jjj</t>
        </is>
      </c>
      <c r="I11" s="2" t="inlineStr">
        <is>
          <t>是</t>
        </is>
      </c>
      <c r="J11" s="2" t="inlineStr">
        <is>
          <t>2026</t>
        </is>
      </c>
      <c r="K11" s="2" t="inlineStr">
        <is>
          <t>04</t>
        </is>
      </c>
      <c r="L11" s="2" t="inlineStr">
        <is>
          <t>16</t>
        </is>
      </c>
      <c r="M11" s="2" t="inlineStr">
        <is>
          <t>2026-04</t>
        </is>
      </c>
      <c r="N11" s="2" t="inlineStr">
        <is>
          <t>RBPS</t>
        </is>
      </c>
    </row>
    <row r="12">
      <c r="A12" s="2" t="inlineStr">
        <is>
          <t>YLS3000 V100R001C00B013</t>
        </is>
      </c>
      <c r="B12" s="2" t="inlineStr">
        <is>
          <t>SDTS2026030100300</t>
        </is>
      </c>
      <c r="C12" s="2" t="inlineStr">
        <is>
          <t>【YLS】【PXW】test12</t>
        </is>
      </c>
      <c r="D12" s="2" t="inlineStr">
        <is>
          <t>KKK</t>
        </is>
      </c>
      <c r="E12" s="2" t="inlineStr">
        <is>
          <t>软件-离线集群</t>
        </is>
      </c>
      <c r="F12" s="2" t="inlineStr">
        <is>
          <t>一般</t>
        </is>
      </c>
      <c r="G12" s="2" t="inlineStr">
        <is>
          <t>离线功能</t>
        </is>
      </c>
      <c r="H12" s="2" t="inlineStr">
        <is>
          <t>kkk</t>
        </is>
      </c>
      <c r="I12" s="2" t="inlineStr">
        <is>
          <t>是</t>
        </is>
      </c>
      <c r="J12" s="2" t="inlineStr">
        <is>
          <t>2026</t>
        </is>
      </c>
      <c r="K12" s="2" t="inlineStr">
        <is>
          <t>03</t>
        </is>
      </c>
      <c r="L12" s="2" t="inlineStr">
        <is>
          <t>01</t>
        </is>
      </c>
      <c r="M12" s="2" t="inlineStr">
        <is>
          <t>2026-03</t>
        </is>
      </c>
      <c r="N12" s="2" t="inlineStr">
        <is>
          <t>PXW</t>
        </is>
      </c>
    </row>
    <row r="13">
      <c r="A13" s="2" t="inlineStr">
        <is>
          <t>YLS3000 V100R001C00B014</t>
        </is>
      </c>
      <c r="B13" s="2" t="inlineStr">
        <is>
          <t>SDTS2026020100400</t>
        </is>
      </c>
      <c r="C13" s="2" t="inlineStr">
        <is>
          <t>【YLS】【常规优化】test13</t>
        </is>
      </c>
      <c r="D13" s="2" t="inlineStr">
        <is>
          <t>LLL</t>
        </is>
      </c>
      <c r="E13" s="2" t="inlineStr">
        <is>
          <t>软件-项目管理</t>
        </is>
      </c>
      <c r="F13" s="2" t="inlineStr">
        <is>
          <t>提示</t>
        </is>
      </c>
      <c r="G13" s="2" t="inlineStr">
        <is>
          <t>产率</t>
        </is>
      </c>
      <c r="H13" s="2" t="inlineStr">
        <is>
          <t>lll</t>
        </is>
      </c>
      <c r="I13" s="2" t="inlineStr">
        <is>
          <t>是</t>
        </is>
      </c>
      <c r="J13" s="2" t="inlineStr">
        <is>
          <t>2026</t>
        </is>
      </c>
      <c r="K13" s="2" t="inlineStr">
        <is>
          <t>02</t>
        </is>
      </c>
      <c r="L13" s="2" t="inlineStr">
        <is>
          <t>01</t>
        </is>
      </c>
      <c r="M13" s="2" t="inlineStr">
        <is>
          <t>2026-02</t>
        </is>
      </c>
      <c r="N13" s="2" t="inlineStr">
        <is>
          <t>研发</t>
        </is>
      </c>
    </row>
  </sheetData>
  <autoFilter ref="A1:N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小组</t>
        </is>
      </c>
      <c r="B1" s="3" t="inlineStr">
        <is>
          <t>2025-11</t>
        </is>
      </c>
      <c r="C1" s="3" t="inlineStr">
        <is>
          <t>2025-12</t>
        </is>
      </c>
      <c r="D1" s="3" t="inlineStr">
        <is>
          <t>2026-02</t>
        </is>
      </c>
      <c r="E1" s="3" t="inlineStr">
        <is>
          <t>2026-03</t>
        </is>
      </c>
      <c r="F1" s="3" t="inlineStr">
        <is>
          <t>2026-04</t>
        </is>
      </c>
      <c r="G1" s="3" t="inlineStr">
        <is>
          <t>合计</t>
        </is>
      </c>
    </row>
    <row r="2">
      <c r="A2" s="2" t="inlineStr">
        <is>
          <t>软件-在线服务</t>
        </is>
      </c>
      <c r="B2" s="4" t="n">
        <v>1</v>
      </c>
      <c r="C2" s="4" t="n">
        <v>0</v>
      </c>
      <c r="D2" s="4" t="n">
        <v>0</v>
      </c>
      <c r="E2" s="4" t="n">
        <v>1</v>
      </c>
      <c r="F2" s="4" t="n">
        <v>1</v>
      </c>
      <c r="G2" s="4" t="n">
        <v>3</v>
      </c>
    </row>
    <row r="3">
      <c r="A3" s="2" t="inlineStr">
        <is>
          <t>软件-离线集群</t>
        </is>
      </c>
      <c r="B3" s="4" t="n">
        <v>0</v>
      </c>
      <c r="C3" s="4" t="n">
        <v>1</v>
      </c>
      <c r="D3" s="4" t="n">
        <v>0</v>
      </c>
      <c r="E3" s="4" t="n">
        <v>1</v>
      </c>
      <c r="F3" s="4" t="n">
        <v>3</v>
      </c>
      <c r="G3" s="4" t="n">
        <v>5</v>
      </c>
    </row>
    <row r="4">
      <c r="A4" s="2" t="inlineStr">
        <is>
          <t>软件-项目管理</t>
        </is>
      </c>
      <c r="B4" s="4" t="n">
        <v>0</v>
      </c>
      <c r="C4" s="4" t="n">
        <v>0</v>
      </c>
      <c r="D4" s="4" t="n">
        <v>1</v>
      </c>
      <c r="E4" s="4" t="n">
        <v>1</v>
      </c>
      <c r="F4" s="4" t="n">
        <v>2</v>
      </c>
      <c r="G4" s="4" t="n">
        <v>4</v>
      </c>
    </row>
    <row r="5">
      <c r="A5" s="5" t="inlineStr">
        <is>
          <t>合计</t>
        </is>
      </c>
      <c r="B5" s="6" t="n">
        <v>1</v>
      </c>
      <c r="C5" s="6" t="n">
        <v>1</v>
      </c>
      <c r="D5" s="6" t="n">
        <v>1</v>
      </c>
      <c r="E5" s="6" t="n">
        <v>3</v>
      </c>
      <c r="F5" s="6" t="n">
        <v>6</v>
      </c>
      <c r="G5" s="6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小组</t>
        </is>
      </c>
      <c r="B1" s="7" t="inlineStr">
        <is>
          <t>严重程度</t>
        </is>
      </c>
      <c r="C1" s="7" t="inlineStr">
        <is>
          <t>2025</t>
        </is>
      </c>
      <c r="D1" s="7" t="inlineStr">
        <is>
          <t>2026</t>
        </is>
      </c>
      <c r="E1" s="7" t="inlineStr">
        <is>
          <t>合计</t>
        </is>
      </c>
    </row>
    <row r="2">
      <c r="A2" s="8" t="inlineStr">
        <is>
          <t>软件-在线服务</t>
        </is>
      </c>
      <c r="B2" s="8" t="inlineStr">
        <is>
          <t>一般</t>
        </is>
      </c>
      <c r="C2" s="9" t="n">
        <v>0</v>
      </c>
      <c r="D2" s="9" t="n">
        <v>1</v>
      </c>
      <c r="E2" s="9" t="n">
        <v>1</v>
      </c>
    </row>
    <row r="3">
      <c r="A3" s="8" t="inlineStr">
        <is>
          <t>软件-在线服务</t>
        </is>
      </c>
      <c r="B3" s="8" t="inlineStr">
        <is>
          <t>严重</t>
        </is>
      </c>
      <c r="C3" s="9" t="n">
        <v>1</v>
      </c>
      <c r="D3" s="9" t="n">
        <v>1</v>
      </c>
      <c r="E3" s="9" t="n">
        <v>2</v>
      </c>
    </row>
    <row r="4">
      <c r="A4" s="10" t="inlineStr">
        <is>
          <t>软件-离线集群</t>
        </is>
      </c>
      <c r="B4" s="10" t="inlineStr">
        <is>
          <t>一般</t>
        </is>
      </c>
      <c r="C4" s="11" t="n">
        <v>1</v>
      </c>
      <c r="D4" s="11" t="n">
        <v>2</v>
      </c>
      <c r="E4" s="11" t="n">
        <v>3</v>
      </c>
    </row>
    <row r="5">
      <c r="A5" s="10" t="inlineStr">
        <is>
          <t>软件-离线集群</t>
        </is>
      </c>
      <c r="B5" s="10" t="inlineStr">
        <is>
          <t>严重</t>
        </is>
      </c>
      <c r="C5" s="11" t="n">
        <v>0</v>
      </c>
      <c r="D5" s="11" t="n">
        <v>1</v>
      </c>
      <c r="E5" s="11" t="n">
        <v>1</v>
      </c>
    </row>
    <row r="6">
      <c r="A6" s="10" t="inlineStr">
        <is>
          <t>软件-离线集群</t>
        </is>
      </c>
      <c r="B6" s="10" t="inlineStr">
        <is>
          <t>提示</t>
        </is>
      </c>
      <c r="C6" s="11" t="n">
        <v>0</v>
      </c>
      <c r="D6" s="11" t="n">
        <v>1</v>
      </c>
      <c r="E6" s="11" t="n">
        <v>1</v>
      </c>
    </row>
    <row r="7">
      <c r="A7" s="8" t="inlineStr">
        <is>
          <t>软件-项目管理</t>
        </is>
      </c>
      <c r="B7" s="8" t="inlineStr">
        <is>
          <t>一般</t>
        </is>
      </c>
      <c r="C7" s="9" t="n">
        <v>0</v>
      </c>
      <c r="D7" s="9" t="n">
        <v>1</v>
      </c>
      <c r="E7" s="9" t="n">
        <v>1</v>
      </c>
    </row>
    <row r="8">
      <c r="A8" s="8" t="inlineStr">
        <is>
          <t>软件-项目管理</t>
        </is>
      </c>
      <c r="B8" s="8" t="inlineStr">
        <is>
          <t>提示</t>
        </is>
      </c>
      <c r="C8" s="9" t="n">
        <v>0</v>
      </c>
      <c r="D8" s="9" t="n">
        <v>3</v>
      </c>
      <c r="E8" s="9" t="n">
        <v>3</v>
      </c>
    </row>
    <row r="9">
      <c r="A9" s="5" t="inlineStr">
        <is>
          <t>合计</t>
        </is>
      </c>
      <c r="B9" s="5" t="inlineStr"/>
      <c r="C9" s="6" t="n">
        <v>2</v>
      </c>
      <c r="D9" s="6" t="n">
        <v>10</v>
      </c>
      <c r="E9" s="6" t="n">
        <v>12</v>
      </c>
    </row>
    <row r="12">
      <c r="A12" s="12" t="inlineStr">
        <is>
          <t>汇总（用于图表）</t>
        </is>
      </c>
    </row>
    <row r="13">
      <c r="A13" s="7" t="inlineStr">
        <is>
          <t>小组</t>
        </is>
      </c>
      <c r="B13" s="7" t="inlineStr">
        <is>
          <t>一般</t>
        </is>
      </c>
      <c r="C13" s="7" t="inlineStr">
        <is>
          <t>严重</t>
        </is>
      </c>
      <c r="D13" s="7" t="inlineStr">
        <is>
          <t>提示</t>
        </is>
      </c>
    </row>
    <row r="14">
      <c r="A14" s="2" t="inlineStr">
        <is>
          <t>软件-在线服务</t>
        </is>
      </c>
      <c r="B14" s="4" t="n">
        <v>1</v>
      </c>
      <c r="C14" s="4" t="n">
        <v>2</v>
      </c>
      <c r="D14" s="4" t="n">
        <v>0</v>
      </c>
    </row>
    <row r="15">
      <c r="A15" s="2" t="inlineStr">
        <is>
          <t>软件-离线集群</t>
        </is>
      </c>
      <c r="B15" s="4" t="n">
        <v>3</v>
      </c>
      <c r="C15" s="4" t="n">
        <v>1</v>
      </c>
      <c r="D15" s="4" t="n">
        <v>1</v>
      </c>
    </row>
    <row r="16">
      <c r="A16" s="2" t="inlineStr">
        <is>
          <t>软件-项目管理</t>
        </is>
      </c>
      <c r="B16" s="4" t="n">
        <v>1</v>
      </c>
      <c r="C16" s="4" t="n">
        <v>0</v>
      </c>
      <c r="D16" s="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3" t="inlineStr">
        <is>
          <t>小组</t>
        </is>
      </c>
      <c r="B1" s="13" t="inlineStr">
        <is>
          <t>PXW</t>
        </is>
      </c>
      <c r="C1" s="13" t="inlineStr">
        <is>
          <t>RBPS</t>
        </is>
      </c>
      <c r="D1" s="13" t="inlineStr">
        <is>
          <t>出厂测试</t>
        </is>
      </c>
      <c r="E1" s="13" t="inlineStr">
        <is>
          <t>合计</t>
        </is>
      </c>
    </row>
    <row r="2">
      <c r="A2" s="2" t="inlineStr">
        <is>
          <t>软件-在线服务</t>
        </is>
      </c>
      <c r="B2" s="4" t="n">
        <v>1</v>
      </c>
      <c r="C2" s="4" t="n">
        <v>1</v>
      </c>
      <c r="D2" s="4" t="n">
        <v>1</v>
      </c>
      <c r="E2" s="4" t="n">
        <v>3</v>
      </c>
    </row>
    <row r="3">
      <c r="A3" s="2" t="inlineStr">
        <is>
          <t>软件-离线集群</t>
        </is>
      </c>
      <c r="B3" s="4" t="n">
        <v>5</v>
      </c>
      <c r="C3" s="4" t="n">
        <v>0</v>
      </c>
      <c r="D3" s="4" t="n">
        <v>0</v>
      </c>
      <c r="E3" s="4" t="n">
        <v>5</v>
      </c>
    </row>
    <row r="4">
      <c r="A4" s="2" t="inlineStr">
        <is>
          <t>软件-项目管理</t>
        </is>
      </c>
      <c r="B4" s="4" t="n">
        <v>1</v>
      </c>
      <c r="C4" s="4" t="n">
        <v>0</v>
      </c>
      <c r="D4" s="4" t="n">
        <v>1</v>
      </c>
      <c r="E4" s="4" t="n">
        <v>2</v>
      </c>
    </row>
    <row r="5">
      <c r="A5" s="5" t="inlineStr">
        <is>
          <t>合计</t>
        </is>
      </c>
      <c r="B5" s="6" t="n">
        <v>7</v>
      </c>
      <c r="C5" s="6" t="n">
        <v>1</v>
      </c>
      <c r="D5" s="6" t="n">
        <v>2</v>
      </c>
      <c r="E5" s="6" t="n">
        <v>10</v>
      </c>
    </row>
    <row r="26">
      <c r="A26" s="13" t="inlineStr">
        <is>
          <t>客户</t>
        </is>
      </c>
      <c r="B26" s="13" t="inlineStr">
        <is>
          <t>缺陷数量</t>
        </is>
      </c>
    </row>
    <row r="27">
      <c r="A27" s="2" t="inlineStr">
        <is>
          <t>PXW</t>
        </is>
      </c>
      <c r="B27" s="4" t="n">
        <v>7</v>
      </c>
    </row>
    <row r="28">
      <c r="A28" s="2" t="inlineStr">
        <is>
          <t>出厂测试</t>
        </is>
      </c>
      <c r="B28" s="4" t="n">
        <v>2</v>
      </c>
    </row>
    <row r="29">
      <c r="A29" s="2" t="inlineStr">
        <is>
          <t>RBPS</t>
        </is>
      </c>
      <c r="B29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4" t="inlineStr">
        <is>
          <t>小组</t>
        </is>
      </c>
      <c r="B1" s="14" t="inlineStr">
        <is>
          <t>产率</t>
        </is>
      </c>
      <c r="C1" s="14" t="inlineStr">
        <is>
          <t>在线功能</t>
        </is>
      </c>
      <c r="D1" s="14" t="inlineStr">
        <is>
          <t>离线功能</t>
        </is>
      </c>
      <c r="E1" s="14" t="inlineStr">
        <is>
          <t>合计</t>
        </is>
      </c>
    </row>
    <row r="2">
      <c r="A2" s="2" t="inlineStr">
        <is>
          <t>软件-在线服务</t>
        </is>
      </c>
      <c r="B2" s="4" t="n">
        <v>0</v>
      </c>
      <c r="C2" s="4" t="n">
        <v>3</v>
      </c>
      <c r="D2" s="4" t="n">
        <v>0</v>
      </c>
      <c r="E2" s="4" t="n">
        <v>3</v>
      </c>
    </row>
    <row r="3">
      <c r="A3" s="2" t="inlineStr">
        <is>
          <t>软件-离线集群</t>
        </is>
      </c>
      <c r="B3" s="4" t="n">
        <v>0</v>
      </c>
      <c r="C3" s="4" t="n">
        <v>0</v>
      </c>
      <c r="D3" s="4" t="n">
        <v>5</v>
      </c>
      <c r="E3" s="4" t="n">
        <v>5</v>
      </c>
    </row>
    <row r="4">
      <c r="A4" s="2" t="inlineStr">
        <is>
          <t>软件-项目管理</t>
        </is>
      </c>
      <c r="B4" s="4" t="n">
        <v>4</v>
      </c>
      <c r="C4" s="4" t="n">
        <v>0</v>
      </c>
      <c r="D4" s="4" t="n">
        <v>0</v>
      </c>
      <c r="E4" s="4" t="n">
        <v>4</v>
      </c>
    </row>
    <row r="5">
      <c r="A5" s="5" t="inlineStr">
        <is>
          <t>合计</t>
        </is>
      </c>
      <c r="B5" s="6" t="n">
        <v>4</v>
      </c>
      <c r="C5" s="6" t="n">
        <v>3</v>
      </c>
      <c r="D5" s="6" t="n">
        <v>5</v>
      </c>
      <c r="E5" s="6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5" t="inlineStr">
        <is>
          <t>特性</t>
        </is>
      </c>
      <c r="B1" s="15" t="inlineStr">
        <is>
          <t>PXW</t>
        </is>
      </c>
      <c r="C1" s="15" t="inlineStr">
        <is>
          <t>RBPS</t>
        </is>
      </c>
      <c r="D1" s="15" t="inlineStr">
        <is>
          <t>出厂测试</t>
        </is>
      </c>
      <c r="E1" s="15" t="inlineStr">
        <is>
          <t>合计</t>
        </is>
      </c>
    </row>
    <row r="2">
      <c r="A2" s="2" t="inlineStr">
        <is>
          <t>产率</t>
        </is>
      </c>
      <c r="B2" s="4" t="n">
        <v>1</v>
      </c>
      <c r="C2" s="4" t="n">
        <v>0</v>
      </c>
      <c r="D2" s="4" t="n">
        <v>1</v>
      </c>
      <c r="E2" s="4" t="n">
        <v>2</v>
      </c>
    </row>
    <row r="3">
      <c r="A3" s="2" t="inlineStr">
        <is>
          <t>在线功能</t>
        </is>
      </c>
      <c r="B3" s="4" t="n">
        <v>1</v>
      </c>
      <c r="C3" s="4" t="n">
        <v>1</v>
      </c>
      <c r="D3" s="4" t="n">
        <v>1</v>
      </c>
      <c r="E3" s="4" t="n">
        <v>3</v>
      </c>
    </row>
    <row r="4">
      <c r="A4" s="2" t="inlineStr">
        <is>
          <t>离线功能</t>
        </is>
      </c>
      <c r="B4" s="4" t="n">
        <v>5</v>
      </c>
      <c r="C4" s="4" t="n">
        <v>0</v>
      </c>
      <c r="D4" s="4" t="n">
        <v>0</v>
      </c>
      <c r="E4" s="4" t="n">
        <v>5</v>
      </c>
    </row>
    <row r="5">
      <c r="A5" s="5" t="inlineStr">
        <is>
          <t>合计</t>
        </is>
      </c>
      <c r="B5" s="6" t="n">
        <v>7</v>
      </c>
      <c r="C5" s="6" t="n">
        <v>1</v>
      </c>
      <c r="D5" s="6" t="n">
        <v>2</v>
      </c>
      <c r="E5" s="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2026-04-30T09:00:12Z</dcterms:created>
  <dcterms:modified xmlns:dcterms="http://purl.org/dc/terms/" xmlns:xsi="http://www.w3.org/2001/XMLSchema-instance" xsi:type="dcterms:W3CDTF">2026-04-30T09:00:12Z</dcterms:modified>
</cp:coreProperties>
</file>